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8_{F308A870-5C51-4C8E-9449-6F6FF04B738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2" r:id="rId1"/>
    <sheet name="Threat Summary" sheetId="1" r:id="rId2"/>
  </sheets>
  <calcPr calcId="0" iterateDelta="1E-4"/>
  <pivotCaches>
    <pivotCache cacheId="4" r:id="rId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<sst xmlns="http://schemas.openxmlformats.org/spreadsheetml/2006/main" count="31" uniqueCount="22">
  <si>
    <t>category</t>
  </si>
  <si>
    <t>dupe_mentions</t>
  </si>
  <si>
    <t>regulation_flagged_products</t>
  </si>
  <si>
    <t>dupe_score</t>
  </si>
  <si>
    <t>regulation_score</t>
  </si>
  <si>
    <t>combined_threat_score</t>
  </si>
  <si>
    <t>Skincare</t>
  </si>
  <si>
    <t>Hair</t>
  </si>
  <si>
    <t>Makeup</t>
  </si>
  <si>
    <t>Bath &amp; Body</t>
  </si>
  <si>
    <t>Mini Size</t>
  </si>
  <si>
    <t>Men</t>
  </si>
  <si>
    <t>Fragrance</t>
  </si>
  <si>
    <t>Gifts</t>
  </si>
  <si>
    <t>Tools &amp; Brushes</t>
  </si>
  <si>
    <t>Note: Corrected on [date] — original dupe count included false-positive matches</t>
  </si>
  <si>
    <t>(e.g. 'duper' matched 'dupe'); combined_threat_score formula also fixed (was incorrectly</t>
  </si>
  <si>
    <t>duplicating regulation_score instead of averaging dupe_score and regulation_score).</t>
  </si>
  <si>
    <t>Row Labels</t>
  </si>
  <si>
    <t>Grand Total</t>
  </si>
  <si>
    <t>Sum of combined_threat_score</t>
  </si>
  <si>
    <t>Sum of regulation_flagged_products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</si>
</sst>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C00000"/>
      <name val="Arial"/>
      <charset val="1"/>
    </font>
    <font>
      <sz val="11"/>
      <name val="Arial"/>
      <charset val="1"/>
    </font>
    <font>
      <i/>
      <sz val="9"/>
      <color rgb="FF88888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F8CBAD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[Sephora_Threat_Summary (1).xlsx]Sheet1!PivotTable1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Combined Threat Score by Category</a:t>
            </a:r>
            <a:endParaRPr lang="en-IN" sz="1100"/>
          </a:p>
        </c:rich>
      </c:tx>
      <c:layout>
        <c:manualLayout>
          <c:xMode val="edge"/>
          <c:yMode val="edge"/>
          <c:x val="0.49471183749090186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720146326247032"/>
          <c:y val="0.14249781277340332"/>
          <c:w val="0.36924917998695539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combined_threat_score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Bath &amp; Body</c:v>
                </c:pt>
                <c:pt idx="1">
                  <c:v>Fragrance</c:v>
                </c:pt>
                <c:pt idx="2">
                  <c:v>Gifts</c:v>
                </c:pt>
                <c:pt idx="3">
                  <c:v>Hair</c:v>
                </c:pt>
                <c:pt idx="4">
                  <c:v>Makeup</c:v>
                </c:pt>
                <c:pt idx="5">
                  <c:v>Men</c:v>
                </c:pt>
                <c:pt idx="6">
                  <c:v>Mini Size</c:v>
                </c:pt>
                <c:pt idx="7">
                  <c:v>Skincare</c:v>
                </c:pt>
                <c:pt idx="8">
                  <c:v>Tools &amp; Brushes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3.15</c:v>
                </c:pt>
                <c:pt idx="1">
                  <c:v>0.08</c:v>
                </c:pt>
                <c:pt idx="2">
                  <c:v>0</c:v>
                </c:pt>
                <c:pt idx="3">
                  <c:v>19.059999999999999</c:v>
                </c:pt>
                <c:pt idx="4">
                  <c:v>5.67</c:v>
                </c:pt>
                <c:pt idx="5">
                  <c:v>1.02</c:v>
                </c:pt>
                <c:pt idx="6">
                  <c:v>1.73</c:v>
                </c:pt>
                <c:pt idx="7">
                  <c:v>100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0-47C9-90C7-3E4D7660C255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regulation_flagged_products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Bath &amp; Body</c:v>
                </c:pt>
                <c:pt idx="1">
                  <c:v>Fragrance</c:v>
                </c:pt>
                <c:pt idx="2">
                  <c:v>Gifts</c:v>
                </c:pt>
                <c:pt idx="3">
                  <c:v>Hair</c:v>
                </c:pt>
                <c:pt idx="4">
                  <c:v>Makeup</c:v>
                </c:pt>
                <c:pt idx="5">
                  <c:v>Men</c:v>
                </c:pt>
                <c:pt idx="6">
                  <c:v>Mini Size</c:v>
                </c:pt>
                <c:pt idx="7">
                  <c:v>Skincare</c:v>
                </c:pt>
                <c:pt idx="8">
                  <c:v>Tools &amp; Brushes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9"/>
                <c:pt idx="0">
                  <c:v>40</c:v>
                </c:pt>
                <c:pt idx="1">
                  <c:v>1</c:v>
                </c:pt>
                <c:pt idx="2">
                  <c:v>0</c:v>
                </c:pt>
                <c:pt idx="3">
                  <c:v>242</c:v>
                </c:pt>
                <c:pt idx="4">
                  <c:v>72</c:v>
                </c:pt>
                <c:pt idx="5">
                  <c:v>13</c:v>
                </c:pt>
                <c:pt idx="6">
                  <c:v>22</c:v>
                </c:pt>
                <c:pt idx="7">
                  <c:v>635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0-47C9-90C7-3E4D7660C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884671"/>
        <c:axId val="560870191"/>
      </c:barChart>
      <c:catAx>
        <c:axId val="561884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870191"/>
        <c:crosses val="autoZero"/>
        <c:auto val="1"/>
        <c:lblAlgn val="ctr"/>
        <c:lblOffset val="100"/>
        <c:noMultiLvlLbl val="0"/>
      </c:catAx>
      <c:valAx>
        <c:axId val="56087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88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Combined Threat Score by Category (Corrected)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'Threat Summary'!$F$1</c:f>
              <c:strCache>
                <c:ptCount val="1"/>
                <c:pt idx="0">
                  <c:v>combined_threat_score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'Threat Summary'!$A$2:$A$10</c:f>
              <c:strCache>
                <c:ptCount val="9"/>
                <c:pt idx="0">
                  <c:v>Skincare</c:v>
                </c:pt>
                <c:pt idx="1">
                  <c:v>Hair</c:v>
                </c:pt>
                <c:pt idx="2">
                  <c:v>Makeup</c:v>
                </c:pt>
                <c:pt idx="3">
                  <c:v>Bath &amp; Body</c:v>
                </c:pt>
                <c:pt idx="4">
                  <c:v>Mini Size</c:v>
                </c:pt>
                <c:pt idx="5">
                  <c:v>Men</c:v>
                </c:pt>
                <c:pt idx="6">
                  <c:v>Fragrance</c:v>
                </c:pt>
                <c:pt idx="7">
                  <c:v>Gifts</c:v>
                </c:pt>
                <c:pt idx="8">
                  <c:v>Tools &amp; Brushes</c:v>
                </c:pt>
              </c:strCache>
            </c:strRef>
          </c:cat>
          <c:val>
            <c:numRef>
              <c:f>'Threat Summary'!$F$2:$F$10</c:f>
              <c:numCache>
                <c:formatCode>General</c:formatCode>
                <c:ptCount val="9"/>
                <c:pt idx="0">
                  <c:v>100</c:v>
                </c:pt>
                <c:pt idx="1">
                  <c:v>19.059999999999999</c:v>
                </c:pt>
                <c:pt idx="2">
                  <c:v>5.67</c:v>
                </c:pt>
                <c:pt idx="3">
                  <c:v>3.15</c:v>
                </c:pt>
                <c:pt idx="4">
                  <c:v>1.73</c:v>
                </c:pt>
                <c:pt idx="5">
                  <c:v>1.02</c:v>
                </c:pt>
                <c:pt idx="6">
                  <c:v>0.08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7-4053-B975-823C209AE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28784"/>
        <c:axId val="70439878"/>
      </c:barChart>
      <c:catAx>
        <c:axId val="701287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Combined Threat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39878"/>
        <c:crosses val="autoZero"/>
        <c:auto val="1"/>
        <c:lblAlgn val="ctr"/>
        <c:lblOffset val="100"/>
        <c:noMultiLvlLbl val="0"/>
      </c:catAx>
      <c:valAx>
        <c:axId val="704398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287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2</xdr:row>
      <xdr:rowOff>133350</xdr:rowOff>
    </xdr:from>
    <xdr:to>
      <xdr:col>15</xdr:col>
      <xdr:colOff>355600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C896C-9A99-AB4C-A03B-BF74B8DD6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364320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" refreshedDate="46254.106237152781" createdVersion="8" refreshedVersion="8" minRefreshableVersion="3" recordCount="9" xr:uid="{DBD28B1E-348E-485E-A7C0-FA0F8C2967C7}">
  <cacheSource type="worksheet">
    <worksheetSource ref="A1:F10" sheet="Threat Summary"/>
  </cacheSource>
  <cacheFields count="6">
    <cacheField name="category" numFmtId="0">
      <sharedItems count="9">
        <s v="Skincare"/>
        <s v="Hair"/>
        <s v="Makeup"/>
        <s v="Bath &amp; Body"/>
        <s v="Mini Size"/>
        <s v="Men"/>
        <s v="Fragrance"/>
        <s v="Gifts"/>
        <s v="Tools &amp; Brushes"/>
      </sharedItems>
    </cacheField>
    <cacheField name="dupe_mentions" numFmtId="0">
      <sharedItems containsSemiMixedTypes="0" containsString="0" containsNumber="1" containsInteger="1" minValue="0" maxValue="1090"/>
    </cacheField>
    <cacheField name="regulation_flagged_products" numFmtId="0">
      <sharedItems containsSemiMixedTypes="0" containsString="0" containsNumber="1" containsInteger="1" minValue="0" maxValue="635"/>
    </cacheField>
    <cacheField name="dupe_score" numFmtId="0">
      <sharedItems containsSemiMixedTypes="0" containsString="0" containsNumber="1" containsInteger="1" minValue="0" maxValue="100"/>
    </cacheField>
    <cacheField name="regulation_score" numFmtId="0">
      <sharedItems containsSemiMixedTypes="0" containsString="0" containsNumber="1" minValue="0" maxValue="100"/>
    </cacheField>
    <cacheField name="combined_threat_score" numFmtId="0">
      <sharedItems containsSemiMixedTypes="0" containsString="0" containsNumber="1" minValue="0" maxValue="100" count="8">
        <n v="100"/>
        <n v="19.059999999999999"/>
        <n v="5.67"/>
        <n v="3.15"/>
        <n v="1.73"/>
        <n v="1.02"/>
        <n v="0.08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090"/>
    <n v="635"/>
    <n v="100"/>
    <n v="100"/>
    <x v="0"/>
  </r>
  <r>
    <x v="1"/>
    <n v="0"/>
    <n v="242"/>
    <n v="0"/>
    <n v="38.11"/>
    <x v="1"/>
  </r>
  <r>
    <x v="2"/>
    <n v="0"/>
    <n v="72"/>
    <n v="0"/>
    <n v="11.34"/>
    <x v="2"/>
  </r>
  <r>
    <x v="3"/>
    <n v="0"/>
    <n v="40"/>
    <n v="0"/>
    <n v="6.3"/>
    <x v="3"/>
  </r>
  <r>
    <x v="4"/>
    <n v="0"/>
    <n v="22"/>
    <n v="0"/>
    <n v="3.46"/>
    <x v="4"/>
  </r>
  <r>
    <x v="5"/>
    <n v="0"/>
    <n v="13"/>
    <n v="0"/>
    <n v="2.0499999999999998"/>
    <x v="5"/>
  </r>
  <r>
    <x v="6"/>
    <n v="0"/>
    <n v="1"/>
    <n v="0"/>
    <n v="0.16"/>
    <x v="6"/>
  </r>
  <r>
    <x v="7"/>
    <n v="0"/>
    <n v="0"/>
    <n v="0"/>
    <n v="0"/>
    <x v="7"/>
  </r>
  <r>
    <x v="8"/>
    <n v="0"/>
    <n v="0"/>
    <n v="0"/>
    <n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43088-2B2C-406B-8D70-51062C95DA0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3" firstHeaderRow="0" firstDataRow="1" firstDataCol="1"/>
  <pivotFields count="6">
    <pivotField axis="axisRow" showAll="0">
      <items count="10">
        <item x="3"/>
        <item x="6"/>
        <item x="7"/>
        <item x="1"/>
        <item x="2"/>
        <item x="5"/>
        <item x="4"/>
        <item x="0"/>
        <item x="8"/>
        <item t="default"/>
      </items>
    </pivotField>
    <pivotField showAll="0"/>
    <pivotField dataField="1" showAll="0"/>
    <pivotField showAll="0"/>
    <pivotField showAll="0"/>
    <pivotField dataField="1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bined_threat_score" fld="5" baseField="0" baseItem="0"/>
    <dataField name="Sum of regulation_flagged_product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1F30-3923-4301-B3C3-23F1494A605D}">
  <dimension ref="A3:C13"/>
  <sheetViews>
    <sheetView tabSelected="1" workbookViewId="0">
      <selection activeCell="C20" sqref="C20"/>
    </sheetView>
  </sheetViews>
  <sheetFormatPr defaultRowHeight="14.5" x14ac:dyDescent="0.35"/>
  <cols>
    <col min="1" max="1" width="14.26953125" bestFit="1" customWidth="1"/>
    <col min="2" max="2" width="27.453125" bestFit="1" customWidth="1"/>
    <col min="3" max="3" width="31.54296875" bestFit="1" customWidth="1"/>
    <col min="4" max="7" width="4.81640625" bestFit="1" customWidth="1"/>
    <col min="8" max="8" width="5.81640625" bestFit="1" customWidth="1"/>
    <col min="9" max="9" width="3.81640625" bestFit="1" customWidth="1"/>
    <col min="10" max="10" width="10.7265625" bestFit="1" customWidth="1"/>
  </cols>
  <sheetData>
    <row r="3" spans="1:3" x14ac:dyDescent="0.35">
      <c r="A3" s="5" t="s">
        <v>18</v>
      </c>
      <c r="B3" t="s">
        <v>20</v>
      </c>
      <c r="C3" t="s">
        <v>21</v>
      </c>
    </row>
    <row r="4" spans="1:3" x14ac:dyDescent="0.35">
      <c r="A4" s="6" t="s">
        <v>9</v>
      </c>
      <c r="B4" s="7">
        <v>3.15</v>
      </c>
      <c r="C4" s="7">
        <v>40</v>
      </c>
    </row>
    <row r="5" spans="1:3" x14ac:dyDescent="0.35">
      <c r="A5" s="6" t="s">
        <v>12</v>
      </c>
      <c r="B5" s="7">
        <v>0.08</v>
      </c>
      <c r="C5" s="7">
        <v>1</v>
      </c>
    </row>
    <row r="6" spans="1:3" x14ac:dyDescent="0.35">
      <c r="A6" s="6" t="s">
        <v>13</v>
      </c>
      <c r="B6" s="7">
        <v>0</v>
      </c>
      <c r="C6" s="7">
        <v>0</v>
      </c>
    </row>
    <row r="7" spans="1:3" x14ac:dyDescent="0.35">
      <c r="A7" s="6" t="s">
        <v>7</v>
      </c>
      <c r="B7" s="7">
        <v>19.059999999999999</v>
      </c>
      <c r="C7" s="7">
        <v>242</v>
      </c>
    </row>
    <row r="8" spans="1:3" x14ac:dyDescent="0.35">
      <c r="A8" s="6" t="s">
        <v>8</v>
      </c>
      <c r="B8" s="7">
        <v>5.67</v>
      </c>
      <c r="C8" s="7">
        <v>72</v>
      </c>
    </row>
    <row r="9" spans="1:3" x14ac:dyDescent="0.35">
      <c r="A9" s="6" t="s">
        <v>11</v>
      </c>
      <c r="B9" s="7">
        <v>1.02</v>
      </c>
      <c r="C9" s="7">
        <v>13</v>
      </c>
    </row>
    <row r="10" spans="1:3" x14ac:dyDescent="0.35">
      <c r="A10" s="6" t="s">
        <v>10</v>
      </c>
      <c r="B10" s="7">
        <v>1.73</v>
      </c>
      <c r="C10" s="7">
        <v>22</v>
      </c>
    </row>
    <row r="11" spans="1:3" x14ac:dyDescent="0.35">
      <c r="A11" s="6" t="s">
        <v>6</v>
      </c>
      <c r="B11" s="7">
        <v>100</v>
      </c>
      <c r="C11" s="7">
        <v>635</v>
      </c>
    </row>
    <row r="12" spans="1:3" x14ac:dyDescent="0.35">
      <c r="A12" s="6" t="s">
        <v>14</v>
      </c>
      <c r="B12" s="7">
        <v>0</v>
      </c>
      <c r="C12" s="7">
        <v>0</v>
      </c>
    </row>
    <row r="13" spans="1:3" x14ac:dyDescent="0.35">
      <c r="A13" s="6" t="s">
        <v>19</v>
      </c>
      <c r="B13" s="7">
        <v>130.71</v>
      </c>
      <c r="C13" s="7">
        <v>1025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="78" zoomScaleNormal="100" workbookViewId="0">
      <selection activeCell="C7" sqref="C7"/>
    </sheetView>
  </sheetViews>
  <sheetFormatPr defaultColWidth="8.6328125" defaultRowHeight="14.5" x14ac:dyDescent="0.35"/>
  <cols>
    <col min="1" max="1" width="18" customWidth="1"/>
    <col min="2" max="2" width="15" customWidth="1"/>
    <col min="3" max="3" width="26" customWidth="1"/>
    <col min="4" max="4" width="12" customWidth="1"/>
    <col min="5" max="5" width="16" customWidth="1"/>
    <col min="6" max="6" width="2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1090</v>
      </c>
      <c r="C2" s="2">
        <v>635</v>
      </c>
      <c r="D2" s="2">
        <v>100</v>
      </c>
      <c r="E2" s="2">
        <v>100</v>
      </c>
      <c r="F2" s="2">
        <v>100</v>
      </c>
    </row>
    <row r="3" spans="1:6" x14ac:dyDescent="0.35">
      <c r="A3" s="3" t="s">
        <v>7</v>
      </c>
      <c r="B3" s="3">
        <v>0</v>
      </c>
      <c r="C3" s="3">
        <v>242</v>
      </c>
      <c r="D3" s="3">
        <v>0</v>
      </c>
      <c r="E3" s="3">
        <v>38.11</v>
      </c>
      <c r="F3" s="3">
        <v>19.059999999999999</v>
      </c>
    </row>
    <row r="4" spans="1:6" x14ac:dyDescent="0.35">
      <c r="A4" s="3" t="s">
        <v>8</v>
      </c>
      <c r="B4" s="3">
        <v>0</v>
      </c>
      <c r="C4" s="3">
        <v>72</v>
      </c>
      <c r="D4" s="3">
        <v>0</v>
      </c>
      <c r="E4" s="3">
        <v>11.34</v>
      </c>
      <c r="F4" s="3">
        <v>5.67</v>
      </c>
    </row>
    <row r="5" spans="1:6" x14ac:dyDescent="0.35">
      <c r="A5" s="3" t="s">
        <v>9</v>
      </c>
      <c r="B5" s="3">
        <v>0</v>
      </c>
      <c r="C5" s="3">
        <v>40</v>
      </c>
      <c r="D5" s="3">
        <v>0</v>
      </c>
      <c r="E5" s="3">
        <v>6.3</v>
      </c>
      <c r="F5" s="3">
        <v>3.15</v>
      </c>
    </row>
    <row r="6" spans="1:6" x14ac:dyDescent="0.35">
      <c r="A6" s="3" t="s">
        <v>10</v>
      </c>
      <c r="B6" s="3">
        <v>0</v>
      </c>
      <c r="C6" s="3">
        <v>22</v>
      </c>
      <c r="D6" s="3">
        <v>0</v>
      </c>
      <c r="E6" s="3">
        <v>3.46</v>
      </c>
      <c r="F6" s="3">
        <v>1.73</v>
      </c>
    </row>
    <row r="7" spans="1:6" x14ac:dyDescent="0.35">
      <c r="A7" s="3" t="s">
        <v>11</v>
      </c>
      <c r="B7" s="3">
        <v>0</v>
      </c>
      <c r="C7" s="3">
        <v>13</v>
      </c>
      <c r="D7" s="3">
        <v>0</v>
      </c>
      <c r="E7" s="3">
        <v>2.0499999999999998</v>
      </c>
      <c r="F7" s="3">
        <v>1.02</v>
      </c>
    </row>
    <row r="8" spans="1:6" x14ac:dyDescent="0.35">
      <c r="A8" s="3" t="s">
        <v>12</v>
      </c>
      <c r="B8" s="3">
        <v>0</v>
      </c>
      <c r="C8" s="3">
        <v>1</v>
      </c>
      <c r="D8" s="3">
        <v>0</v>
      </c>
      <c r="E8" s="3">
        <v>0.16</v>
      </c>
      <c r="F8" s="3">
        <v>0.08</v>
      </c>
    </row>
    <row r="9" spans="1:6" x14ac:dyDescent="0.35">
      <c r="A9" s="3" t="s">
        <v>13</v>
      </c>
      <c r="B9" s="3"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5">
      <c r="A10" s="3" t="s">
        <v>14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  <row r="12" spans="1:6" x14ac:dyDescent="0.35">
      <c r="A12" s="4" t="s">
        <v>15</v>
      </c>
    </row>
    <row r="13" spans="1:6" x14ac:dyDescent="0.35">
      <c r="A13" s="4" t="s">
        <v>16</v>
      </c>
    </row>
    <row r="14" spans="1:6" x14ac:dyDescent="0.35">
      <c r="A14" s="4" t="s">
        <v>17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Threat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khushichandel70130@gmail.com</cp:lastModifiedBy>
  <cp:revision>1</cp:revision>
  <dcterms:created xsi:type="dcterms:W3CDTF">2026-08-19T21:01:06Z</dcterms:created>
  <dcterms:modified xsi:type="dcterms:W3CDTF">2026-08-19T21:09:22Z</dcterms:modified>
  <dc:language>en-US</dc:language>
</cp:coreProperties>
</file>